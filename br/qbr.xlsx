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marko\projects\tf216\br\"/>
    </mc:Choice>
  </mc:AlternateContent>
  <xr:revisionPtr revIDLastSave="0" documentId="13_ncr:1_{2371AE0E-2D9C-481A-8ABE-9948930EC567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QBR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G18" i="2"/>
  <c r="E18" i="2"/>
  <c r="C18" i="2"/>
  <c r="I17" i="2"/>
  <c r="G17" i="2"/>
  <c r="E17" i="2"/>
  <c r="C17" i="2"/>
  <c r="I16" i="2"/>
  <c r="G16" i="2"/>
  <c r="E16" i="2"/>
  <c r="C16" i="2"/>
  <c r="I15" i="2"/>
  <c r="G15" i="2"/>
  <c r="E15" i="2"/>
  <c r="C15" i="2"/>
  <c r="I14" i="2"/>
  <c r="G14" i="2"/>
  <c r="E14" i="2"/>
  <c r="C14" i="2"/>
  <c r="I13" i="2"/>
  <c r="G13" i="2"/>
  <c r="E13" i="2"/>
  <c r="C13" i="2"/>
  <c r="I12" i="2"/>
  <c r="G12" i="2"/>
  <c r="E12" i="2"/>
  <c r="C12" i="2"/>
  <c r="I11" i="2"/>
  <c r="G11" i="2"/>
  <c r="E11" i="2"/>
  <c r="C11" i="2"/>
  <c r="I10" i="2"/>
  <c r="G10" i="2"/>
  <c r="E10" i="2"/>
  <c r="C10" i="2"/>
  <c r="I9" i="2"/>
  <c r="G9" i="2"/>
  <c r="E9" i="2"/>
  <c r="C9" i="2"/>
  <c r="I8" i="2"/>
  <c r="G8" i="2"/>
  <c r="E8" i="2"/>
  <c r="C8" i="2"/>
  <c r="I7" i="2"/>
  <c r="G7" i="2"/>
  <c r="E7" i="2"/>
  <c r="C7" i="2"/>
  <c r="I6" i="2"/>
  <c r="G6" i="2"/>
  <c r="E6" i="2"/>
  <c r="C6" i="2"/>
  <c r="I5" i="2"/>
  <c r="G5" i="2"/>
  <c r="E5" i="2"/>
  <c r="C5" i="2"/>
  <c r="I4" i="2"/>
  <c r="G4" i="2"/>
  <c r="E4" i="2"/>
  <c r="C4" i="2"/>
  <c r="L18" i="1"/>
  <c r="J18" i="1"/>
  <c r="H18" i="1"/>
  <c r="F18" i="1"/>
  <c r="L17" i="1"/>
  <c r="J17" i="1"/>
  <c r="H17" i="1"/>
  <c r="F17" i="1"/>
  <c r="L16" i="1"/>
  <c r="J16" i="1"/>
  <c r="H16" i="1"/>
  <c r="F16" i="1"/>
  <c r="L15" i="1"/>
  <c r="J15" i="1"/>
  <c r="H15" i="1"/>
  <c r="F15" i="1"/>
  <c r="L14" i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L10" i="1"/>
  <c r="J10" i="1"/>
  <c r="H10" i="1"/>
  <c r="F10" i="1"/>
  <c r="L9" i="1"/>
  <c r="J9" i="1"/>
  <c r="H9" i="1"/>
  <c r="F9" i="1"/>
  <c r="L8" i="1"/>
  <c r="J8" i="1"/>
  <c r="H8" i="1"/>
  <c r="F8" i="1"/>
  <c r="L7" i="1"/>
  <c r="J7" i="1"/>
  <c r="H7" i="1"/>
  <c r="F7" i="1"/>
  <c r="L6" i="1"/>
  <c r="J6" i="1"/>
  <c r="H6" i="1"/>
  <c r="F6" i="1"/>
  <c r="L5" i="1"/>
  <c r="J5" i="1"/>
  <c r="H5" i="1"/>
  <c r="F5" i="1"/>
  <c r="L4" i="1"/>
  <c r="J4" i="1"/>
  <c r="H4" i="1"/>
  <c r="F4" i="1"/>
</calcChain>
</file>

<file path=xl/sharedStrings.xml><?xml version="1.0" encoding="utf-8"?>
<sst xmlns="http://schemas.openxmlformats.org/spreadsheetml/2006/main" count="105" uniqueCount="37">
  <si>
    <t>Model</t>
  </si>
  <si>
    <t>RNN model performance</t>
  </si>
  <si>
    <t>Hybrid model performance</t>
  </si>
  <si>
    <t>Label</t>
  </si>
  <si>
    <t>Type</t>
  </si>
  <si>
    <t>Neurons</t>
  </si>
  <si>
    <t>Layers</t>
  </si>
  <si>
    <t>(No,)</t>
  </si>
  <si>
    <t>(%)</t>
  </si>
  <si>
    <t>L-32-1</t>
  </si>
  <si>
    <t>LSTM</t>
  </si>
  <si>
    <t>L-32-2</t>
  </si>
  <si>
    <t>L-64-1</t>
  </si>
  <si>
    <t>L-64-2</t>
  </si>
  <si>
    <t>L-128-1</t>
  </si>
  <si>
    <t>L-128-2</t>
  </si>
  <si>
    <t>G-32-1</t>
  </si>
  <si>
    <t>GRU</t>
  </si>
  <si>
    <t>G-32-2</t>
  </si>
  <si>
    <t>G-64-1</t>
  </si>
  <si>
    <t>G-64-2</t>
  </si>
  <si>
    <t>G-128-1</t>
  </si>
  <si>
    <t>G-128-2</t>
  </si>
  <si>
    <t>LG-32-2</t>
  </si>
  <si>
    <t>LSTM-GRU</t>
  </si>
  <si>
    <t>LG-64-2</t>
  </si>
  <si>
    <t>LG-128-2</t>
  </si>
  <si>
    <t>2024 HF</t>
  </si>
  <si>
    <t>RY HF</t>
  </si>
  <si>
    <t>Qh</t>
  </si>
  <si>
    <t>Qc</t>
  </si>
  <si>
    <r>
      <t>(kWh/m</t>
    </r>
    <r>
      <rPr>
        <vertAlign val="superscript"/>
        <sz val="12"/>
        <color rgb="FF000000"/>
        <rFont val="Libertinus Serif"/>
        <family val="3"/>
      </rPr>
      <t>2</t>
    </r>
    <r>
      <rPr>
        <sz val="12"/>
        <color rgb="FF000000"/>
        <rFont val="Libertinus Serif"/>
        <family val="3"/>
      </rPr>
      <t>)</t>
    </r>
  </si>
  <si>
    <t>(kWh/m2)</t>
  </si>
  <si>
    <r>
      <t>D</t>
    </r>
    <r>
      <rPr>
        <vertAlign val="subscript"/>
        <sz val="12"/>
        <color rgb="FF000000"/>
        <rFont val="Libertinus Serif"/>
        <family val="3"/>
      </rPr>
      <t>Qh</t>
    </r>
    <r>
      <rPr>
        <sz val="12"/>
        <color rgb="FF000000"/>
        <rFont val="Libertinus Serif"/>
        <family val="3"/>
      </rPr>
      <t>(RY)</t>
    </r>
  </si>
  <si>
    <r>
      <t>D</t>
    </r>
    <r>
      <rPr>
        <vertAlign val="subscript"/>
        <sz val="12"/>
        <color rgb="FF000000"/>
        <rFont val="Libertinus Serif"/>
        <family val="3"/>
      </rPr>
      <t>Qc</t>
    </r>
    <r>
      <rPr>
        <sz val="12"/>
        <color rgb="FF000000"/>
        <rFont val="Libertinus Serif"/>
        <family val="3"/>
      </rPr>
      <t>(RY)</t>
    </r>
  </si>
  <si>
    <t>RNN model HF</t>
  </si>
  <si>
    <t>Hybrid model 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</si>
</sst>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Libertinus Serif"/>
    </font>
    <font>
      <sz val="12"/>
      <color theme="1"/>
      <name val="Libertinus Serif"/>
      <family val="3"/>
      <charset val="238"/>
    </font>
    <font>
      <sz val="12"/>
      <color rgb="FF000000"/>
      <name val="Libertinus Serif"/>
      <family val="3"/>
    </font>
    <font>
      <sz val="12"/>
      <color rgb="FF000000"/>
      <name val="Symbol"/>
      <family val="1"/>
      <charset val="2"/>
    </font>
    <font>
      <vertAlign val="subscript"/>
      <sz val="12"/>
      <color rgb="FF000000"/>
      <name val="Libertinus Serif"/>
      <family val="3"/>
    </font>
    <font>
      <sz val="12"/>
      <color rgb="FF000000"/>
      <name val="Libertinus Serif"/>
      <family val="3"/>
      <charset val="238"/>
    </font>
    <font>
      <sz val="12"/>
      <color theme="1"/>
      <name val="Libertinus Serif"/>
      <family val="3"/>
    </font>
    <font>
      <vertAlign val="superscript"/>
      <sz val="12"/>
      <color rgb="FF000000"/>
      <name val="Libertinus Serif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ME" sz="1200"/>
              <a:t>BR-Qh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Qh-RNN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QBR!$A$4:$A$18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QBR!$B$4:$B$18</c:f>
              <c:numCache>
                <c:formatCode>#,##0.00</c:formatCode>
                <c:ptCount val="15"/>
                <c:pt idx="0">
                  <c:v>-5.72</c:v>
                </c:pt>
                <c:pt idx="1">
                  <c:v>-5.87</c:v>
                </c:pt>
                <c:pt idx="2">
                  <c:v>-5.3</c:v>
                </c:pt>
                <c:pt idx="3">
                  <c:v>-6.12</c:v>
                </c:pt>
                <c:pt idx="4">
                  <c:v>-5.37</c:v>
                </c:pt>
                <c:pt idx="5">
                  <c:v>-5.89</c:v>
                </c:pt>
                <c:pt idx="6">
                  <c:v>-6.1</c:v>
                </c:pt>
                <c:pt idx="7">
                  <c:v>-5.94</c:v>
                </c:pt>
                <c:pt idx="8">
                  <c:v>-5.81</c:v>
                </c:pt>
                <c:pt idx="9">
                  <c:v>-5.41</c:v>
                </c:pt>
                <c:pt idx="10">
                  <c:v>-5.83</c:v>
                </c:pt>
                <c:pt idx="11">
                  <c:v>-5.82</c:v>
                </c:pt>
                <c:pt idx="12">
                  <c:v>-5.83</c:v>
                </c:pt>
                <c:pt idx="13">
                  <c:v>-5.91</c:v>
                </c:pt>
                <c:pt idx="14">
                  <c:v>-5.84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5-4A6E-AF70-F41D94CA9C1A}"/>
            </c:ext>
          </c:extLst>
        </c:ser>
        <c:ser>
          <c:idx val="1"/>
          <c:order val="1"/>
          <c:tx>
            <c:v>Qh-HYB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QBR!$A$4:$A$18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QBR!$F$4:$F$18</c:f>
              <c:numCache>
                <c:formatCode>#,##0.00</c:formatCode>
                <c:ptCount val="15"/>
                <c:pt idx="0">
                  <c:v>-5.75</c:v>
                </c:pt>
                <c:pt idx="1">
                  <c:v>-5.73</c:v>
                </c:pt>
                <c:pt idx="2">
                  <c:v>-6.06</c:v>
                </c:pt>
                <c:pt idx="3">
                  <c:v>-5.82</c:v>
                </c:pt>
                <c:pt idx="4">
                  <c:v>-5.49</c:v>
                </c:pt>
                <c:pt idx="5">
                  <c:v>-5.7</c:v>
                </c:pt>
                <c:pt idx="6">
                  <c:v>-5.93</c:v>
                </c:pt>
                <c:pt idx="7">
                  <c:v>-5.81</c:v>
                </c:pt>
                <c:pt idx="8">
                  <c:v>-5.61</c:v>
                </c:pt>
                <c:pt idx="9">
                  <c:v>-5.43</c:v>
                </c:pt>
                <c:pt idx="10">
                  <c:v>-5.73</c:v>
                </c:pt>
                <c:pt idx="11">
                  <c:v>-5.52</c:v>
                </c:pt>
                <c:pt idx="12">
                  <c:v>-5.72</c:v>
                </c:pt>
                <c:pt idx="13">
                  <c:v>-5.84</c:v>
                </c:pt>
                <c:pt idx="14">
                  <c:v>-5.61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5-4A6E-AF70-F41D94CA9C1A}"/>
            </c:ext>
          </c:extLst>
        </c:ser>
        <c:ser>
          <c:idx val="2"/>
          <c:order val="2"/>
          <c:tx>
            <c:v>Qh-RY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QBR!$A$4:$A$18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QBR!$J$4:$J$18</c:f>
              <c:numCache>
                <c:formatCode>#,##0.00</c:formatCode>
                <c:ptCount val="15"/>
                <c:pt idx="0">
                  <c:v>-5.4</c:v>
                </c:pt>
                <c:pt idx="1">
                  <c:v>-5.4</c:v>
                </c:pt>
                <c:pt idx="2">
                  <c:v>-5.4</c:v>
                </c:pt>
                <c:pt idx="3">
                  <c:v>-5.4</c:v>
                </c:pt>
                <c:pt idx="4">
                  <c:v>-5.4</c:v>
                </c:pt>
                <c:pt idx="5">
                  <c:v>-5.4</c:v>
                </c:pt>
                <c:pt idx="6">
                  <c:v>-5.4</c:v>
                </c:pt>
                <c:pt idx="7">
                  <c:v>-5.4</c:v>
                </c:pt>
                <c:pt idx="8">
                  <c:v>-5.4</c:v>
                </c:pt>
                <c:pt idx="9">
                  <c:v>-5.4</c:v>
                </c:pt>
                <c:pt idx="10">
                  <c:v>-5.4</c:v>
                </c:pt>
                <c:pt idx="11">
                  <c:v>-5.4</c:v>
                </c:pt>
                <c:pt idx="12">
                  <c:v>-5.4</c:v>
                </c:pt>
                <c:pt idx="13">
                  <c:v>-5.4</c:v>
                </c:pt>
                <c:pt idx="14">
                  <c:v>-5.4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E5-4A6E-AF70-F41D94CA9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67312"/>
        <c:axId val="2044435776"/>
      </c:barChart>
      <c:catAx>
        <c:axId val="2044567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776"/>
        <c:crosses val="max"/>
        <c:auto val="1"/>
        <c:lblAlgn val="ctr"/>
        <c:lblOffset val="100"/>
        <c:noMultiLvlLbl val="0"/>
      </c:catAx>
      <c:valAx>
        <c:axId val="2044435776"/>
        <c:scaling>
          <c:orientation val="maxMin"/>
          <c:max val="-5"/>
          <c:min val="-6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Latn-ME"/>
                  <a:t>(kWh/m</a:t>
                </a:r>
                <a:r>
                  <a:rPr lang="sr-Latn-ME" baseline="30000"/>
                  <a:t>2</a:t>
                </a:r>
                <a:r>
                  <a:rPr lang="sr-Latn-ME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673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ME" sz="1200"/>
              <a:t>BR-Qc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Qc-RNN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QBR!$A$4:$A$18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QBR!$D$4:$D$18</c:f>
              <c:numCache>
                <c:formatCode>#,##0.00</c:formatCode>
                <c:ptCount val="15"/>
                <c:pt idx="0">
                  <c:v>0.22</c:v>
                </c:pt>
                <c:pt idx="1">
                  <c:v>0.04</c:v>
                </c:pt>
                <c:pt idx="2">
                  <c:v>0.6</c:v>
                </c:pt>
                <c:pt idx="3">
                  <c:v>0</c:v>
                </c:pt>
                <c:pt idx="4">
                  <c:v>-0.14000000000000001</c:v>
                </c:pt>
                <c:pt idx="5">
                  <c:v>0.26</c:v>
                </c:pt>
                <c:pt idx="6">
                  <c:v>0.24</c:v>
                </c:pt>
                <c:pt idx="7">
                  <c:v>-0.02</c:v>
                </c:pt>
                <c:pt idx="8">
                  <c:v>0.67</c:v>
                </c:pt>
                <c:pt idx="9">
                  <c:v>0.03</c:v>
                </c:pt>
                <c:pt idx="10">
                  <c:v>-0.04</c:v>
                </c:pt>
                <c:pt idx="11">
                  <c:v>0.1</c:v>
                </c:pt>
                <c:pt idx="12">
                  <c:v>0.28999999999999998</c:v>
                </c:pt>
                <c:pt idx="13">
                  <c:v>0.17</c:v>
                </c:pt>
                <c:pt idx="14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2-4891-A4F8-7956A6E24ECD}"/>
            </c:ext>
          </c:extLst>
        </c:ser>
        <c:ser>
          <c:idx val="1"/>
          <c:order val="1"/>
          <c:tx>
            <c:v>Qc-HYB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QBR!$A$4:$A$18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QBR!$H$4:$H$18</c:f>
              <c:numCache>
                <c:formatCode>#,##0.00</c:formatCode>
                <c:ptCount val="15"/>
                <c:pt idx="0">
                  <c:v>0.23</c:v>
                </c:pt>
                <c:pt idx="1">
                  <c:v>0.13</c:v>
                </c:pt>
                <c:pt idx="2">
                  <c:v>0.27</c:v>
                </c:pt>
                <c:pt idx="3">
                  <c:v>0.26</c:v>
                </c:pt>
                <c:pt idx="4">
                  <c:v>0.22</c:v>
                </c:pt>
                <c:pt idx="5">
                  <c:v>0.37</c:v>
                </c:pt>
                <c:pt idx="6">
                  <c:v>0.35</c:v>
                </c:pt>
                <c:pt idx="7">
                  <c:v>0.37</c:v>
                </c:pt>
                <c:pt idx="8">
                  <c:v>-0.03</c:v>
                </c:pt>
                <c:pt idx="9">
                  <c:v>0.33</c:v>
                </c:pt>
                <c:pt idx="10">
                  <c:v>0.44</c:v>
                </c:pt>
                <c:pt idx="11">
                  <c:v>0.18</c:v>
                </c:pt>
                <c:pt idx="12">
                  <c:v>0.32</c:v>
                </c:pt>
                <c:pt idx="13">
                  <c:v>0.17</c:v>
                </c:pt>
                <c:pt idx="14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2-4891-A4F8-7956A6E24ECD}"/>
            </c:ext>
          </c:extLst>
        </c:ser>
        <c:ser>
          <c:idx val="2"/>
          <c:order val="2"/>
          <c:tx>
            <c:v>Qc-RY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QBR!$A$4:$A$18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QBR!$K$4:$K$18</c:f>
              <c:numCache>
                <c:formatCode>#,##0.00</c:formatCode>
                <c:ptCount val="15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92-4891-A4F8-7956A6E24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67312"/>
        <c:axId val="2044435776"/>
      </c:barChart>
      <c:catAx>
        <c:axId val="2044567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776"/>
        <c:crosses val="autoZero"/>
        <c:auto val="1"/>
        <c:lblAlgn val="ctr"/>
        <c:lblOffset val="100"/>
        <c:noMultiLvlLbl val="0"/>
      </c:catAx>
      <c:valAx>
        <c:axId val="2044435776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Latn-ME"/>
                  <a:t>(kWh/m</a:t>
                </a:r>
                <a:r>
                  <a:rPr lang="sr-Latn-ME" baseline="30000"/>
                  <a:t>2</a:t>
                </a:r>
                <a:r>
                  <a:rPr lang="sr-Latn-ME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6731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10062</xdr:colOff>
      <xdr:row>21</xdr:row>
      <xdr:rowOff>0</xdr:rowOff>
    </xdr:from>
    <xdr:to>
      <xdr:col>7</xdr:col>
      <xdr:colOff>651099</xdr:colOff>
      <xdr:row>35</xdr:row>
      <xdr:rowOff>166397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583B4-FA78-4CA0-98C3-84DDF0FD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30633</xdr:colOff>
      <xdr:row>35</xdr:row>
      <xdr:rowOff>166397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5428F6-96B9-462F-8B93-ABE1F0D37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9461-4489-4030-AC1A-DA109068BFD1}">
  <dimension ref="A1:K47"/>
  <sheetViews>
    <sheetView tabSelected="1" topLeftCell="A20" zoomScale="142" zoomScaleNormal="142" workbookViewId="0">
      <selection activeCell="P40" sqref="P40"/>
    </sheetView>
  </sheetViews>
  <sheetFormatPr defaultRowHeight="14.25" x14ac:dyDescent="0.45"/>
  <cols>
    <col min="1" max="1" width="10.46484375" customWidth="1"/>
    <col min="2" max="2" width="9.59765625" customWidth="1"/>
    <col min="4" max="4" width="9.59765625" customWidth="1"/>
    <col min="6" max="6" width="9.59765625" customWidth="1"/>
    <col min="8" max="8" width="9.59765625" customWidth="1"/>
    <col min="10" max="11" width="9.59765625" customWidth="1"/>
  </cols>
  <sheetData>
    <row r="1" spans="1:11" ht="15.75" customHeight="1" thickBot="1" x14ac:dyDescent="0.5">
      <c r="A1" s="15" t="s">
        <v>0</v>
      </c>
      <c r="B1" s="16" t="s">
        <v>35</v>
      </c>
      <c r="C1" s="16"/>
      <c r="D1" s="16"/>
      <c r="E1" s="16"/>
      <c r="F1" s="16" t="s">
        <v>36</v>
      </c>
      <c r="G1" s="16"/>
      <c r="H1" s="16"/>
      <c r="I1" s="16"/>
      <c r="J1" s="16" t="s">
        <v>28</v>
      </c>
      <c r="K1" s="16"/>
    </row>
    <row r="2" spans="1:11" ht="17.649999999999999" x14ac:dyDescent="0.45">
      <c r="A2" s="17" t="s">
        <v>3</v>
      </c>
      <c r="B2" s="2" t="s">
        <v>29</v>
      </c>
      <c r="C2" s="3" t="s">
        <v>33</v>
      </c>
      <c r="D2" s="2" t="s">
        <v>30</v>
      </c>
      <c r="E2" s="4" t="s">
        <v>34</v>
      </c>
      <c r="F2" s="2" t="s">
        <v>29</v>
      </c>
      <c r="G2" s="3" t="s">
        <v>33</v>
      </c>
      <c r="H2" s="2" t="s">
        <v>30</v>
      </c>
      <c r="I2" s="3" t="s">
        <v>34</v>
      </c>
      <c r="J2" s="5" t="s">
        <v>29</v>
      </c>
      <c r="K2" s="5" t="s">
        <v>30</v>
      </c>
    </row>
    <row r="3" spans="1:11" ht="18.399999999999999" thickBot="1" x14ac:dyDescent="0.5">
      <c r="A3" s="18"/>
      <c r="B3" s="6" t="s">
        <v>31</v>
      </c>
      <c r="C3" s="6" t="s">
        <v>8</v>
      </c>
      <c r="D3" s="6" t="s">
        <v>31</v>
      </c>
      <c r="E3" s="7" t="s">
        <v>8</v>
      </c>
      <c r="F3" s="6" t="s">
        <v>31</v>
      </c>
      <c r="G3" s="6" t="s">
        <v>8</v>
      </c>
      <c r="H3" s="6" t="s">
        <v>31</v>
      </c>
      <c r="I3" s="6" t="s">
        <v>8</v>
      </c>
      <c r="J3" s="6" t="s">
        <v>31</v>
      </c>
      <c r="K3" s="6" t="s">
        <v>32</v>
      </c>
    </row>
    <row r="4" spans="1:11" ht="15.4" x14ac:dyDescent="0.45">
      <c r="A4" s="8" t="s">
        <v>9</v>
      </c>
      <c r="B4" s="13">
        <v>-5.72</v>
      </c>
      <c r="C4" s="10">
        <f t="shared" ref="C4:C18" si="0">(B4-J4)/J4*100</f>
        <v>5.9259259259259141</v>
      </c>
      <c r="D4" s="13">
        <v>0.22</v>
      </c>
      <c r="E4" s="10">
        <f t="shared" ref="E4:E18" si="1">(D4-K4)/K4*100</f>
        <v>37.5</v>
      </c>
      <c r="F4" s="13">
        <v>-5.75</v>
      </c>
      <c r="G4" s="10">
        <f t="shared" ref="G4:G18" si="2">(F4-J4)/J4*100</f>
        <v>6.4814814814814738</v>
      </c>
      <c r="H4" s="13">
        <v>0.23</v>
      </c>
      <c r="I4" s="10">
        <f t="shared" ref="I4:I18" si="3">(H4-K4)/K4*100</f>
        <v>43.750000000000007</v>
      </c>
      <c r="J4" s="13">
        <v>-5.4</v>
      </c>
      <c r="K4" s="13">
        <v>0.16</v>
      </c>
    </row>
    <row r="5" spans="1:11" ht="15.4" x14ac:dyDescent="0.45">
      <c r="A5" s="8" t="s">
        <v>11</v>
      </c>
      <c r="B5" s="13">
        <v>-5.87</v>
      </c>
      <c r="C5" s="10">
        <f t="shared" si="0"/>
        <v>8.7037037037036988</v>
      </c>
      <c r="D5" s="13">
        <v>0.04</v>
      </c>
      <c r="E5" s="10">
        <f t="shared" si="1"/>
        <v>-75</v>
      </c>
      <c r="F5" s="13">
        <v>-5.73</v>
      </c>
      <c r="G5" s="10">
        <f t="shared" si="2"/>
        <v>6.1111111111111125</v>
      </c>
      <c r="H5" s="13">
        <v>0.13</v>
      </c>
      <c r="I5" s="10">
        <f t="shared" si="3"/>
        <v>-18.75</v>
      </c>
      <c r="J5" s="13">
        <v>-5.4</v>
      </c>
      <c r="K5" s="13">
        <v>0.16</v>
      </c>
    </row>
    <row r="6" spans="1:11" ht="15.4" x14ac:dyDescent="0.45">
      <c r="A6" s="8" t="s">
        <v>12</v>
      </c>
      <c r="B6" s="13">
        <v>-5.3</v>
      </c>
      <c r="C6" s="10">
        <f t="shared" si="0"/>
        <v>-1.8518518518518614</v>
      </c>
      <c r="D6" s="13">
        <v>0.6</v>
      </c>
      <c r="E6" s="10">
        <f t="shared" si="1"/>
        <v>274.99999999999994</v>
      </c>
      <c r="F6" s="13">
        <v>-6.06</v>
      </c>
      <c r="G6" s="10">
        <f>(F6-J6)/J6*100</f>
        <v>12.222222222222207</v>
      </c>
      <c r="H6" s="13">
        <v>0.27</v>
      </c>
      <c r="I6" s="10">
        <f t="shared" si="3"/>
        <v>68.750000000000014</v>
      </c>
      <c r="J6" s="13">
        <v>-5.4</v>
      </c>
      <c r="K6" s="13">
        <v>0.16</v>
      </c>
    </row>
    <row r="7" spans="1:11" ht="15.4" x14ac:dyDescent="0.45">
      <c r="A7" s="8" t="s">
        <v>13</v>
      </c>
      <c r="B7" s="13">
        <v>-6.12</v>
      </c>
      <c r="C7" s="10">
        <f t="shared" si="0"/>
        <v>13.333333333333327</v>
      </c>
      <c r="D7" s="13">
        <v>0</v>
      </c>
      <c r="E7" s="10">
        <f t="shared" si="1"/>
        <v>-100</v>
      </c>
      <c r="F7" s="13">
        <v>-5.82</v>
      </c>
      <c r="G7" s="10">
        <f t="shared" si="2"/>
        <v>7.7777777777777768</v>
      </c>
      <c r="H7" s="13">
        <v>0.26</v>
      </c>
      <c r="I7" s="10">
        <f t="shared" si="3"/>
        <v>62.5</v>
      </c>
      <c r="J7" s="13">
        <v>-5.4</v>
      </c>
      <c r="K7" s="13">
        <v>0.16</v>
      </c>
    </row>
    <row r="8" spans="1:11" ht="15.4" x14ac:dyDescent="0.45">
      <c r="A8" s="8" t="s">
        <v>14</v>
      </c>
      <c r="B8" s="13">
        <v>-5.37</v>
      </c>
      <c r="C8" s="10">
        <f t="shared" si="0"/>
        <v>-0.55555555555556013</v>
      </c>
      <c r="D8" s="13">
        <v>-0.14000000000000001</v>
      </c>
      <c r="E8" s="10">
        <f t="shared" si="1"/>
        <v>-187.50000000000003</v>
      </c>
      <c r="F8" s="13">
        <v>-5.49</v>
      </c>
      <c r="G8" s="10">
        <f t="shared" si="2"/>
        <v>1.6666666666666639</v>
      </c>
      <c r="H8" s="13">
        <v>0.22</v>
      </c>
      <c r="I8" s="10">
        <f t="shared" si="3"/>
        <v>37.5</v>
      </c>
      <c r="J8" s="13">
        <v>-5.4</v>
      </c>
      <c r="K8" s="13">
        <v>0.16</v>
      </c>
    </row>
    <row r="9" spans="1:11" ht="15.4" x14ac:dyDescent="0.45">
      <c r="A9" s="8" t="s">
        <v>15</v>
      </c>
      <c r="B9" s="13">
        <v>-5.89</v>
      </c>
      <c r="C9" s="10">
        <f t="shared" si="0"/>
        <v>9.0740740740740602</v>
      </c>
      <c r="D9" s="13">
        <v>0.26</v>
      </c>
      <c r="E9" s="10">
        <f t="shared" si="1"/>
        <v>62.5</v>
      </c>
      <c r="F9" s="13">
        <v>-5.7</v>
      </c>
      <c r="G9" s="10">
        <f t="shared" si="2"/>
        <v>5.5555555555555518</v>
      </c>
      <c r="H9" s="13">
        <v>0.37</v>
      </c>
      <c r="I9" s="10">
        <f t="shared" si="3"/>
        <v>131.25</v>
      </c>
      <c r="J9" s="13">
        <v>-5.4</v>
      </c>
      <c r="K9" s="13">
        <v>0.16</v>
      </c>
    </row>
    <row r="10" spans="1:11" ht="15.4" x14ac:dyDescent="0.45">
      <c r="A10" s="8" t="s">
        <v>16</v>
      </c>
      <c r="B10" s="13">
        <v>-6.1</v>
      </c>
      <c r="C10" s="10">
        <f t="shared" si="0"/>
        <v>12.962962962962948</v>
      </c>
      <c r="D10" s="13">
        <v>0.24</v>
      </c>
      <c r="E10" s="10">
        <f t="shared" si="1"/>
        <v>49.999999999999986</v>
      </c>
      <c r="F10" s="13">
        <v>-5.93</v>
      </c>
      <c r="G10" s="10">
        <f t="shared" si="2"/>
        <v>9.8148148148148024</v>
      </c>
      <c r="H10" s="13">
        <v>0.35</v>
      </c>
      <c r="I10" s="10">
        <f t="shared" si="3"/>
        <v>118.74999999999997</v>
      </c>
      <c r="J10" s="13">
        <v>-5.4</v>
      </c>
      <c r="K10" s="13">
        <v>0.16</v>
      </c>
    </row>
    <row r="11" spans="1:11" ht="15.4" x14ac:dyDescent="0.45">
      <c r="A11" s="8" t="s">
        <v>18</v>
      </c>
      <c r="B11" s="13">
        <v>-5.94</v>
      </c>
      <c r="C11" s="10">
        <f t="shared" si="0"/>
        <v>10</v>
      </c>
      <c r="D11" s="13">
        <v>-0.02</v>
      </c>
      <c r="E11" s="10">
        <f t="shared" si="1"/>
        <v>-112.5</v>
      </c>
      <c r="F11" s="13">
        <v>-5.81</v>
      </c>
      <c r="G11" s="10">
        <f t="shared" si="2"/>
        <v>7.5925925925925783</v>
      </c>
      <c r="H11" s="13">
        <v>0.37</v>
      </c>
      <c r="I11" s="10">
        <f t="shared" si="3"/>
        <v>131.25</v>
      </c>
      <c r="J11" s="13">
        <v>-5.4</v>
      </c>
      <c r="K11" s="13">
        <v>0.16</v>
      </c>
    </row>
    <row r="12" spans="1:11" ht="15.4" x14ac:dyDescent="0.45">
      <c r="A12" s="8" t="s">
        <v>19</v>
      </c>
      <c r="B12" s="13">
        <v>-5.81</v>
      </c>
      <c r="C12" s="10">
        <f t="shared" si="0"/>
        <v>7.5925925925925783</v>
      </c>
      <c r="D12" s="13">
        <v>0.67</v>
      </c>
      <c r="E12" s="10">
        <f t="shared" si="1"/>
        <v>318.75</v>
      </c>
      <c r="F12" s="13">
        <v>-5.61</v>
      </c>
      <c r="G12" s="10">
        <f t="shared" si="2"/>
        <v>3.8888888888888884</v>
      </c>
      <c r="H12" s="13">
        <v>-0.03</v>
      </c>
      <c r="I12" s="10">
        <f t="shared" si="3"/>
        <v>-118.75</v>
      </c>
      <c r="J12" s="13">
        <v>-5.4</v>
      </c>
      <c r="K12" s="13">
        <v>0.16</v>
      </c>
    </row>
    <row r="13" spans="1:11" ht="15.4" x14ac:dyDescent="0.45">
      <c r="A13" s="8" t="s">
        <v>20</v>
      </c>
      <c r="B13" s="13">
        <v>-5.41</v>
      </c>
      <c r="C13" s="10">
        <f t="shared" si="0"/>
        <v>0.18518518518518123</v>
      </c>
      <c r="D13" s="13">
        <v>0.03</v>
      </c>
      <c r="E13" s="10">
        <f t="shared" si="1"/>
        <v>-81.25</v>
      </c>
      <c r="F13" s="13">
        <v>-5.43</v>
      </c>
      <c r="G13" s="10">
        <f t="shared" si="2"/>
        <v>0.5555555555555437</v>
      </c>
      <c r="H13" s="13">
        <v>0.33</v>
      </c>
      <c r="I13" s="10">
        <f t="shared" si="3"/>
        <v>106.25</v>
      </c>
      <c r="J13" s="13">
        <v>-5.4</v>
      </c>
      <c r="K13" s="13">
        <v>0.16</v>
      </c>
    </row>
    <row r="14" spans="1:11" ht="15.4" x14ac:dyDescent="0.45">
      <c r="A14" s="8" t="s">
        <v>21</v>
      </c>
      <c r="B14" s="13">
        <v>-5.83</v>
      </c>
      <c r="C14" s="10">
        <f t="shared" si="0"/>
        <v>7.9629629629629575</v>
      </c>
      <c r="D14" s="13">
        <v>-0.04</v>
      </c>
      <c r="E14" s="10">
        <f t="shared" si="1"/>
        <v>-125</v>
      </c>
      <c r="F14" s="13">
        <v>-5.73</v>
      </c>
      <c r="G14" s="10">
        <f t="shared" si="2"/>
        <v>6.1111111111111125</v>
      </c>
      <c r="H14" s="13">
        <v>0.44</v>
      </c>
      <c r="I14" s="10">
        <f t="shared" si="3"/>
        <v>175.00000000000003</v>
      </c>
      <c r="J14" s="13">
        <v>-5.4</v>
      </c>
      <c r="K14" s="13">
        <v>0.16</v>
      </c>
    </row>
    <row r="15" spans="1:11" ht="15.4" x14ac:dyDescent="0.45">
      <c r="A15" s="8" t="s">
        <v>22</v>
      </c>
      <c r="B15" s="13">
        <v>-5.82</v>
      </c>
      <c r="C15" s="10">
        <f t="shared" si="0"/>
        <v>7.7777777777777768</v>
      </c>
      <c r="D15" s="13">
        <v>0.1</v>
      </c>
      <c r="E15" s="10">
        <f t="shared" si="1"/>
        <v>-37.5</v>
      </c>
      <c r="F15" s="13">
        <v>-5.52</v>
      </c>
      <c r="G15" s="10">
        <f t="shared" si="2"/>
        <v>2.2222222222222077</v>
      </c>
      <c r="H15" s="13">
        <v>0.18</v>
      </c>
      <c r="I15" s="10">
        <f t="shared" si="3"/>
        <v>12.499999999999993</v>
      </c>
      <c r="J15" s="13">
        <v>-5.4</v>
      </c>
      <c r="K15" s="13">
        <v>0.16</v>
      </c>
    </row>
    <row r="16" spans="1:11" ht="15.4" x14ac:dyDescent="0.45">
      <c r="A16" s="8" t="s">
        <v>23</v>
      </c>
      <c r="B16" s="13">
        <v>-5.83</v>
      </c>
      <c r="C16" s="10">
        <f t="shared" si="0"/>
        <v>7.9629629629629575</v>
      </c>
      <c r="D16" s="13">
        <v>0.28999999999999998</v>
      </c>
      <c r="E16" s="10">
        <f t="shared" si="1"/>
        <v>81.249999999999986</v>
      </c>
      <c r="F16" s="13">
        <v>-5.72</v>
      </c>
      <c r="G16" s="10">
        <f t="shared" si="2"/>
        <v>5.9259259259259141</v>
      </c>
      <c r="H16" s="13">
        <v>0.32</v>
      </c>
      <c r="I16" s="10">
        <f t="shared" si="3"/>
        <v>100</v>
      </c>
      <c r="J16" s="13">
        <v>-5.4</v>
      </c>
      <c r="K16" s="13">
        <v>0.16</v>
      </c>
    </row>
    <row r="17" spans="1:11" ht="15.4" x14ac:dyDescent="0.45">
      <c r="A17" s="8" t="s">
        <v>25</v>
      </c>
      <c r="B17" s="13">
        <v>-5.91</v>
      </c>
      <c r="C17" s="10">
        <f t="shared" si="0"/>
        <v>9.4444444444444393</v>
      </c>
      <c r="D17" s="13">
        <v>0.17</v>
      </c>
      <c r="E17" s="10">
        <f t="shared" si="1"/>
        <v>6.2500000000000053</v>
      </c>
      <c r="F17" s="13">
        <v>-5.84</v>
      </c>
      <c r="G17" s="10">
        <f>(F17-J17)/J17*100</f>
        <v>8.1481481481481399</v>
      </c>
      <c r="H17" s="13">
        <v>0.17</v>
      </c>
      <c r="I17" s="10">
        <f t="shared" si="3"/>
        <v>6.2500000000000053</v>
      </c>
      <c r="J17" s="13">
        <v>-5.4</v>
      </c>
      <c r="K17" s="13">
        <v>0.16</v>
      </c>
    </row>
    <row r="18" spans="1:11" ht="15.75" thickBot="1" x14ac:dyDescent="0.5">
      <c r="A18" s="11" t="s">
        <v>26</v>
      </c>
      <c r="B18" s="14">
        <v>-5.84</v>
      </c>
      <c r="C18" s="12">
        <f t="shared" si="0"/>
        <v>8.1481481481481399</v>
      </c>
      <c r="D18" s="14">
        <v>0.42</v>
      </c>
      <c r="E18" s="12">
        <f t="shared" si="1"/>
        <v>162.5</v>
      </c>
      <c r="F18" s="14">
        <v>-5.61</v>
      </c>
      <c r="G18" s="12">
        <f t="shared" si="2"/>
        <v>3.8888888888888884</v>
      </c>
      <c r="H18" s="14">
        <v>0.11</v>
      </c>
      <c r="I18" s="12">
        <f t="shared" si="3"/>
        <v>-31.25</v>
      </c>
      <c r="J18" s="14">
        <v>-5.4</v>
      </c>
      <c r="K18" s="14">
        <v>0.16</v>
      </c>
    </row>
    <row r="19" spans="1:11" x14ac:dyDescent="0.45">
      <c r="A19" s="1"/>
      <c r="B19" s="1"/>
      <c r="C19" s="1"/>
    </row>
    <row r="20" spans="1:11" x14ac:dyDescent="0.45">
      <c r="A20" s="1"/>
      <c r="B20" s="1"/>
      <c r="C20" s="1"/>
    </row>
    <row r="21" spans="1:11" x14ac:dyDescent="0.45">
      <c r="A21" s="1"/>
      <c r="B21" s="1"/>
      <c r="C21" s="1"/>
    </row>
    <row r="22" spans="1:11" x14ac:dyDescent="0.45">
      <c r="A22" s="1"/>
      <c r="B22" s="1"/>
      <c r="C22" s="1"/>
    </row>
    <row r="23" spans="1:11" x14ac:dyDescent="0.45">
      <c r="A23" s="1"/>
      <c r="B23" s="1"/>
      <c r="C23" s="1"/>
    </row>
    <row r="24" spans="1:11" x14ac:dyDescent="0.45">
      <c r="A24" s="1"/>
      <c r="B24" s="1"/>
      <c r="C24" s="1"/>
    </row>
    <row r="25" spans="1:11" x14ac:dyDescent="0.45">
      <c r="A25" s="1"/>
      <c r="B25" s="1"/>
      <c r="C25" s="1"/>
    </row>
    <row r="26" spans="1:11" x14ac:dyDescent="0.45">
      <c r="A26" s="1"/>
      <c r="B26" s="1"/>
      <c r="C26" s="1"/>
    </row>
    <row r="27" spans="1:11" x14ac:dyDescent="0.45">
      <c r="A27" s="1"/>
      <c r="B27" s="1"/>
      <c r="C27" s="1"/>
    </row>
    <row r="28" spans="1:11" x14ac:dyDescent="0.45">
      <c r="A28" s="1"/>
      <c r="B28" s="1"/>
      <c r="C28" s="1"/>
    </row>
    <row r="29" spans="1:11" x14ac:dyDescent="0.45">
      <c r="A29" s="1"/>
      <c r="B29" s="1"/>
      <c r="C29" s="1"/>
    </row>
    <row r="30" spans="1:11" x14ac:dyDescent="0.45">
      <c r="A30" s="1"/>
      <c r="B30" s="1"/>
      <c r="C30" s="1"/>
    </row>
    <row r="31" spans="1:11" x14ac:dyDescent="0.45">
      <c r="A31" s="1"/>
      <c r="B31" s="1"/>
      <c r="C31" s="1"/>
    </row>
    <row r="32" spans="1:11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</sheetData>
  <mergeCells count="4">
    <mergeCell ref="B1:E1"/>
    <mergeCell ref="F1:I1"/>
    <mergeCell ref="J1:K1"/>
    <mergeCell ref="A2:A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opLeftCell="B1" zoomScale="142" zoomScaleNormal="142" workbookViewId="0">
      <selection activeCell="P19" sqref="P19"/>
    </sheetView>
  </sheetViews>
  <sheetFormatPr defaultRowHeight="14.25" x14ac:dyDescent="0.45"/>
  <cols>
    <col min="1" max="1" width="10.46484375" customWidth="1"/>
    <col min="2" max="2" width="12.33203125" customWidth="1"/>
    <col min="5" max="5" width="9.59765625" customWidth="1"/>
    <col min="7" max="7" width="9.59765625" customWidth="1"/>
    <col min="9" max="9" width="9.59765625" customWidth="1"/>
    <col min="11" max="11" width="9.59765625" customWidth="1"/>
    <col min="13" max="16" width="9.59765625" customWidth="1"/>
  </cols>
  <sheetData>
    <row r="1" spans="1:16" ht="15.75" customHeight="1" thickBot="1" x14ac:dyDescent="0.5">
      <c r="A1" s="16" t="s">
        <v>0</v>
      </c>
      <c r="B1" s="16"/>
      <c r="C1" s="16"/>
      <c r="D1" s="16"/>
      <c r="E1" s="16" t="s">
        <v>1</v>
      </c>
      <c r="F1" s="16"/>
      <c r="G1" s="16"/>
      <c r="H1" s="16"/>
      <c r="I1" s="16" t="s">
        <v>2</v>
      </c>
      <c r="J1" s="16"/>
      <c r="K1" s="16"/>
      <c r="L1" s="16"/>
      <c r="M1" s="16" t="s">
        <v>27</v>
      </c>
      <c r="N1" s="16"/>
      <c r="O1" s="16" t="s">
        <v>28</v>
      </c>
      <c r="P1" s="16"/>
    </row>
    <row r="2" spans="1:16" ht="17.649999999999999" x14ac:dyDescent="0.45">
      <c r="A2" s="17" t="s">
        <v>3</v>
      </c>
      <c r="B2" s="19" t="s">
        <v>4</v>
      </c>
      <c r="C2" s="2" t="s">
        <v>5</v>
      </c>
      <c r="D2" s="2" t="s">
        <v>6</v>
      </c>
      <c r="E2" s="2" t="s">
        <v>29</v>
      </c>
      <c r="F2" s="3" t="s">
        <v>33</v>
      </c>
      <c r="G2" s="2" t="s">
        <v>30</v>
      </c>
      <c r="H2" s="4" t="s">
        <v>34</v>
      </c>
      <c r="I2" s="2" t="s">
        <v>29</v>
      </c>
      <c r="J2" s="3" t="s">
        <v>33</v>
      </c>
      <c r="K2" s="2" t="s">
        <v>30</v>
      </c>
      <c r="L2" s="3" t="s">
        <v>34</v>
      </c>
      <c r="M2" s="5" t="s">
        <v>29</v>
      </c>
      <c r="N2" s="5" t="s">
        <v>30</v>
      </c>
      <c r="O2" s="5" t="s">
        <v>29</v>
      </c>
      <c r="P2" s="5" t="s">
        <v>30</v>
      </c>
    </row>
    <row r="3" spans="1:16" ht="18.399999999999999" thickBot="1" x14ac:dyDescent="0.5">
      <c r="A3" s="18"/>
      <c r="B3" s="20"/>
      <c r="C3" s="6" t="s">
        <v>7</v>
      </c>
      <c r="D3" s="6" t="s">
        <v>7</v>
      </c>
      <c r="E3" s="6" t="s">
        <v>31</v>
      </c>
      <c r="F3" s="6" t="s">
        <v>8</v>
      </c>
      <c r="G3" s="6" t="s">
        <v>31</v>
      </c>
      <c r="H3" s="7" t="s">
        <v>8</v>
      </c>
      <c r="I3" s="6" t="s">
        <v>31</v>
      </c>
      <c r="J3" s="6" t="s">
        <v>8</v>
      </c>
      <c r="K3" s="6" t="s">
        <v>31</v>
      </c>
      <c r="L3" s="6" t="s">
        <v>8</v>
      </c>
      <c r="M3" s="6" t="s">
        <v>31</v>
      </c>
      <c r="N3" s="6" t="s">
        <v>32</v>
      </c>
      <c r="O3" s="6" t="s">
        <v>32</v>
      </c>
      <c r="P3" s="6" t="s">
        <v>32</v>
      </c>
    </row>
    <row r="4" spans="1:16" ht="15.4" x14ac:dyDescent="0.45">
      <c r="A4" s="8" t="s">
        <v>9</v>
      </c>
      <c r="B4" s="9" t="s">
        <v>10</v>
      </c>
      <c r="C4" s="9">
        <v>32</v>
      </c>
      <c r="D4" s="9">
        <v>1</v>
      </c>
      <c r="E4" s="13">
        <v>-5.72</v>
      </c>
      <c r="F4" s="10">
        <f t="shared" ref="F4:F18" si="0">(E4-M4)/M4*100</f>
        <v>37.499999999999986</v>
      </c>
      <c r="G4" s="13">
        <v>0.22</v>
      </c>
      <c r="H4" s="10">
        <f t="shared" ref="H4:H18" si="1">(G4-N4)/N4*100</f>
        <v>-85.526315789473685</v>
      </c>
      <c r="I4" s="13">
        <v>-5.75</v>
      </c>
      <c r="J4" s="10">
        <f t="shared" ref="J4:J18" si="2">(I4-M4)/M4*100</f>
        <v>38.221153846153847</v>
      </c>
      <c r="K4" s="13">
        <v>0.23</v>
      </c>
      <c r="L4" s="10">
        <f t="shared" ref="L4:L18" si="3">(K4-N4)/N4*100</f>
        <v>-84.868421052631575</v>
      </c>
      <c r="M4" s="13">
        <v>-4.16</v>
      </c>
      <c r="N4" s="13">
        <v>1.52</v>
      </c>
      <c r="O4" s="13">
        <v>-5.4</v>
      </c>
      <c r="P4" s="13">
        <v>0.16</v>
      </c>
    </row>
    <row r="5" spans="1:16" ht="15.4" x14ac:dyDescent="0.45">
      <c r="A5" s="8" t="s">
        <v>11</v>
      </c>
      <c r="B5" s="9" t="s">
        <v>10</v>
      </c>
      <c r="C5" s="9">
        <v>32</v>
      </c>
      <c r="D5" s="9">
        <v>2</v>
      </c>
      <c r="E5" s="13">
        <v>-5.87</v>
      </c>
      <c r="F5" s="10">
        <f t="shared" si="0"/>
        <v>41.105769230769226</v>
      </c>
      <c r="G5" s="13">
        <v>0.04</v>
      </c>
      <c r="H5" s="10">
        <f t="shared" si="1"/>
        <v>-97.368421052631575</v>
      </c>
      <c r="I5" s="13">
        <v>-5.73</v>
      </c>
      <c r="J5" s="10">
        <f t="shared" si="2"/>
        <v>37.74038461538462</v>
      </c>
      <c r="K5" s="13">
        <v>0.13</v>
      </c>
      <c r="L5" s="10">
        <f t="shared" si="3"/>
        <v>-91.447368421052644</v>
      </c>
      <c r="M5" s="13">
        <v>-4.16</v>
      </c>
      <c r="N5" s="13">
        <v>1.52</v>
      </c>
      <c r="O5" s="13">
        <v>-5.4</v>
      </c>
      <c r="P5" s="13">
        <v>0.16</v>
      </c>
    </row>
    <row r="6" spans="1:16" ht="15.4" x14ac:dyDescent="0.45">
      <c r="A6" s="8" t="s">
        <v>12</v>
      </c>
      <c r="B6" s="9" t="s">
        <v>10</v>
      </c>
      <c r="C6" s="9">
        <v>64</v>
      </c>
      <c r="D6" s="9">
        <v>1</v>
      </c>
      <c r="E6" s="13">
        <v>-5.3</v>
      </c>
      <c r="F6" s="10">
        <f t="shared" si="0"/>
        <v>27.403846153846146</v>
      </c>
      <c r="G6" s="13">
        <v>0.6</v>
      </c>
      <c r="H6" s="10">
        <f t="shared" si="1"/>
        <v>-60.526315789473685</v>
      </c>
      <c r="I6" s="13">
        <v>-6.06</v>
      </c>
      <c r="J6" s="10">
        <f>(I6-M6)/M6*100</f>
        <v>45.673076923076913</v>
      </c>
      <c r="K6" s="13">
        <v>0.27</v>
      </c>
      <c r="L6" s="10">
        <f t="shared" si="3"/>
        <v>-82.23684210526315</v>
      </c>
      <c r="M6" s="13">
        <v>-4.16</v>
      </c>
      <c r="N6" s="13">
        <v>1.52</v>
      </c>
      <c r="O6" s="13">
        <v>-5.4</v>
      </c>
      <c r="P6" s="13">
        <v>0.16</v>
      </c>
    </row>
    <row r="7" spans="1:16" ht="15.4" x14ac:dyDescent="0.45">
      <c r="A7" s="8" t="s">
        <v>13</v>
      </c>
      <c r="B7" s="9" t="s">
        <v>10</v>
      </c>
      <c r="C7" s="9">
        <v>64</v>
      </c>
      <c r="D7" s="9">
        <v>2</v>
      </c>
      <c r="E7" s="13">
        <v>-6.12</v>
      </c>
      <c r="F7" s="10">
        <f t="shared" si="0"/>
        <v>47.115384615384613</v>
      </c>
      <c r="G7" s="13">
        <v>0</v>
      </c>
      <c r="H7" s="10">
        <f t="shared" si="1"/>
        <v>-100</v>
      </c>
      <c r="I7" s="13">
        <v>-5.82</v>
      </c>
      <c r="J7" s="10">
        <f t="shared" si="2"/>
        <v>39.903846153846153</v>
      </c>
      <c r="K7" s="13">
        <v>0.26</v>
      </c>
      <c r="L7" s="10">
        <f t="shared" si="3"/>
        <v>-82.89473684210526</v>
      </c>
      <c r="M7" s="13">
        <v>-4.16</v>
      </c>
      <c r="N7" s="13">
        <v>1.52</v>
      </c>
      <c r="O7" s="13">
        <v>-5.4</v>
      </c>
      <c r="P7" s="13">
        <v>0.16</v>
      </c>
    </row>
    <row r="8" spans="1:16" ht="15.4" x14ac:dyDescent="0.45">
      <c r="A8" s="8" t="s">
        <v>14</v>
      </c>
      <c r="B8" s="9" t="s">
        <v>10</v>
      </c>
      <c r="C8" s="9">
        <v>128</v>
      </c>
      <c r="D8" s="9">
        <v>1</v>
      </c>
      <c r="E8" s="13">
        <v>-5.37</v>
      </c>
      <c r="F8" s="10">
        <f t="shared" si="0"/>
        <v>29.08653846153846</v>
      </c>
      <c r="G8" s="13">
        <v>-0.14000000000000001</v>
      </c>
      <c r="H8" s="10">
        <f t="shared" si="1"/>
        <v>-109.21052631578949</v>
      </c>
      <c r="I8" s="13">
        <v>-5.49</v>
      </c>
      <c r="J8" s="10">
        <f t="shared" si="2"/>
        <v>31.97115384615385</v>
      </c>
      <c r="K8" s="13">
        <v>0.22</v>
      </c>
      <c r="L8" s="10">
        <f t="shared" si="3"/>
        <v>-85.526315789473685</v>
      </c>
      <c r="M8" s="13">
        <v>-4.16</v>
      </c>
      <c r="N8" s="13">
        <v>1.52</v>
      </c>
      <c r="O8" s="13">
        <v>-5.4</v>
      </c>
      <c r="P8" s="13">
        <v>0.16</v>
      </c>
    </row>
    <row r="9" spans="1:16" ht="15.4" x14ac:dyDescent="0.45">
      <c r="A9" s="8" t="s">
        <v>15</v>
      </c>
      <c r="B9" s="9" t="s">
        <v>10</v>
      </c>
      <c r="C9" s="9">
        <v>128</v>
      </c>
      <c r="D9" s="9">
        <v>2</v>
      </c>
      <c r="E9" s="13">
        <v>-5.89</v>
      </c>
      <c r="F9" s="10">
        <f t="shared" si="0"/>
        <v>41.586538461538446</v>
      </c>
      <c r="G9" s="13">
        <v>0.26</v>
      </c>
      <c r="H9" s="10">
        <f t="shared" si="1"/>
        <v>-82.89473684210526</v>
      </c>
      <c r="I9" s="13">
        <v>-5.7</v>
      </c>
      <c r="J9" s="10">
        <f t="shared" si="2"/>
        <v>37.019230769230774</v>
      </c>
      <c r="K9" s="13">
        <v>0.37</v>
      </c>
      <c r="L9" s="10">
        <f t="shared" si="3"/>
        <v>-75.657894736842096</v>
      </c>
      <c r="M9" s="13">
        <v>-4.16</v>
      </c>
      <c r="N9" s="13">
        <v>1.52</v>
      </c>
      <c r="O9" s="13">
        <v>-5.4</v>
      </c>
      <c r="P9" s="13">
        <v>0.16</v>
      </c>
    </row>
    <row r="10" spans="1:16" ht="15.4" x14ac:dyDescent="0.45">
      <c r="A10" s="8" t="s">
        <v>16</v>
      </c>
      <c r="B10" s="9" t="s">
        <v>17</v>
      </c>
      <c r="C10" s="9">
        <v>32</v>
      </c>
      <c r="D10" s="9">
        <v>1</v>
      </c>
      <c r="E10" s="13">
        <v>-6.1</v>
      </c>
      <c r="F10" s="10">
        <f t="shared" si="0"/>
        <v>46.634615384615365</v>
      </c>
      <c r="G10" s="13">
        <v>0.24</v>
      </c>
      <c r="H10" s="10">
        <f t="shared" si="1"/>
        <v>-84.210526315789465</v>
      </c>
      <c r="I10" s="13">
        <v>-5.93</v>
      </c>
      <c r="J10" s="10">
        <f t="shared" si="2"/>
        <v>42.548076923076913</v>
      </c>
      <c r="K10" s="13">
        <v>0.35</v>
      </c>
      <c r="L10" s="10">
        <f t="shared" si="3"/>
        <v>-76.973684210526301</v>
      </c>
      <c r="M10" s="13">
        <v>-4.16</v>
      </c>
      <c r="N10" s="13">
        <v>1.52</v>
      </c>
      <c r="O10" s="13">
        <v>-5.4</v>
      </c>
      <c r="P10" s="13">
        <v>0.16</v>
      </c>
    </row>
    <row r="11" spans="1:16" ht="15.4" x14ac:dyDescent="0.45">
      <c r="A11" s="8" t="s">
        <v>18</v>
      </c>
      <c r="B11" s="9" t="s">
        <v>17</v>
      </c>
      <c r="C11" s="9">
        <v>32</v>
      </c>
      <c r="D11" s="9">
        <v>2</v>
      </c>
      <c r="E11" s="13">
        <v>-5.94</v>
      </c>
      <c r="F11" s="10">
        <f t="shared" si="0"/>
        <v>42.78846153846154</v>
      </c>
      <c r="G11" s="13">
        <v>-0.02</v>
      </c>
      <c r="H11" s="10">
        <f t="shared" si="1"/>
        <v>-101.31578947368421</v>
      </c>
      <c r="I11" s="13">
        <v>-5.81</v>
      </c>
      <c r="J11" s="10">
        <f t="shared" si="2"/>
        <v>39.663461538461526</v>
      </c>
      <c r="K11" s="13">
        <v>0.37</v>
      </c>
      <c r="L11" s="10">
        <f t="shared" si="3"/>
        <v>-75.657894736842096</v>
      </c>
      <c r="M11" s="13">
        <v>-4.16</v>
      </c>
      <c r="N11" s="13">
        <v>1.52</v>
      </c>
      <c r="O11" s="13">
        <v>-5.4</v>
      </c>
      <c r="P11" s="13">
        <v>0.16</v>
      </c>
    </row>
    <row r="12" spans="1:16" ht="15.4" x14ac:dyDescent="0.45">
      <c r="A12" s="8" t="s">
        <v>19</v>
      </c>
      <c r="B12" s="9" t="s">
        <v>17</v>
      </c>
      <c r="C12" s="9">
        <v>64</v>
      </c>
      <c r="D12" s="9">
        <v>1</v>
      </c>
      <c r="E12" s="13">
        <v>-5.81</v>
      </c>
      <c r="F12" s="10">
        <f t="shared" si="0"/>
        <v>39.663461538461526</v>
      </c>
      <c r="G12" s="13">
        <v>0.67</v>
      </c>
      <c r="H12" s="10">
        <f t="shared" si="1"/>
        <v>-55.921052631578952</v>
      </c>
      <c r="I12" s="13">
        <v>-5.61</v>
      </c>
      <c r="J12" s="10">
        <f t="shared" si="2"/>
        <v>34.855769230769234</v>
      </c>
      <c r="K12" s="13">
        <v>-0.03</v>
      </c>
      <c r="L12" s="10">
        <f t="shared" si="3"/>
        <v>-101.97368421052633</v>
      </c>
      <c r="M12" s="13">
        <v>-4.16</v>
      </c>
      <c r="N12" s="13">
        <v>1.52</v>
      </c>
      <c r="O12" s="13">
        <v>-5.4</v>
      </c>
      <c r="P12" s="13">
        <v>0.16</v>
      </c>
    </row>
    <row r="13" spans="1:16" ht="15.4" x14ac:dyDescent="0.45">
      <c r="A13" s="8" t="s">
        <v>20</v>
      </c>
      <c r="B13" s="9" t="s">
        <v>17</v>
      </c>
      <c r="C13" s="9">
        <v>64</v>
      </c>
      <c r="D13" s="9">
        <v>2</v>
      </c>
      <c r="E13" s="13">
        <v>-5.41</v>
      </c>
      <c r="F13" s="10">
        <f t="shared" si="0"/>
        <v>30.048076923076923</v>
      </c>
      <c r="G13" s="13">
        <v>0.03</v>
      </c>
      <c r="H13" s="10">
        <f t="shared" si="1"/>
        <v>-98.026315789473685</v>
      </c>
      <c r="I13" s="13">
        <v>-5.43</v>
      </c>
      <c r="J13" s="10">
        <f t="shared" si="2"/>
        <v>30.528846153846146</v>
      </c>
      <c r="K13" s="13">
        <v>0.33</v>
      </c>
      <c r="L13" s="10">
        <f t="shared" si="3"/>
        <v>-78.28947368421052</v>
      </c>
      <c r="M13" s="13">
        <v>-4.16</v>
      </c>
      <c r="N13" s="13">
        <v>1.52</v>
      </c>
      <c r="O13" s="13">
        <v>-5.4</v>
      </c>
      <c r="P13" s="13">
        <v>0.16</v>
      </c>
    </row>
    <row r="14" spans="1:16" ht="15.4" x14ac:dyDescent="0.45">
      <c r="A14" s="8" t="s">
        <v>21</v>
      </c>
      <c r="B14" s="9" t="s">
        <v>17</v>
      </c>
      <c r="C14" s="9">
        <v>128</v>
      </c>
      <c r="D14" s="9">
        <v>1</v>
      </c>
      <c r="E14" s="13">
        <v>-5.83</v>
      </c>
      <c r="F14" s="10">
        <f t="shared" si="0"/>
        <v>40.144230769230766</v>
      </c>
      <c r="G14" s="13">
        <v>-0.04</v>
      </c>
      <c r="H14" s="10">
        <f t="shared" si="1"/>
        <v>-102.63157894736842</v>
      </c>
      <c r="I14" s="13">
        <v>-5.73</v>
      </c>
      <c r="J14" s="10">
        <f t="shared" si="2"/>
        <v>37.74038461538462</v>
      </c>
      <c r="K14" s="13">
        <v>0.44</v>
      </c>
      <c r="L14" s="10">
        <f t="shared" si="3"/>
        <v>-71.05263157894737</v>
      </c>
      <c r="M14" s="13">
        <v>-4.16</v>
      </c>
      <c r="N14" s="13">
        <v>1.52</v>
      </c>
      <c r="O14" s="13">
        <v>-5.4</v>
      </c>
      <c r="P14" s="13">
        <v>0.16</v>
      </c>
    </row>
    <row r="15" spans="1:16" ht="15.4" x14ac:dyDescent="0.45">
      <c r="A15" s="8" t="s">
        <v>22</v>
      </c>
      <c r="B15" s="9" t="s">
        <v>17</v>
      </c>
      <c r="C15" s="9">
        <v>128</v>
      </c>
      <c r="D15" s="9">
        <v>2</v>
      </c>
      <c r="E15" s="13">
        <v>-5.82</v>
      </c>
      <c r="F15" s="10">
        <f t="shared" si="0"/>
        <v>39.903846153846153</v>
      </c>
      <c r="G15" s="13">
        <v>0.1</v>
      </c>
      <c r="H15" s="10">
        <f t="shared" si="1"/>
        <v>-93.421052631578931</v>
      </c>
      <c r="I15" s="13">
        <v>-5.52</v>
      </c>
      <c r="J15" s="10">
        <f t="shared" si="2"/>
        <v>32.692307692307679</v>
      </c>
      <c r="K15" s="13">
        <v>0.18</v>
      </c>
      <c r="L15" s="10">
        <f t="shared" si="3"/>
        <v>-88.15789473684211</v>
      </c>
      <c r="M15" s="13">
        <v>-4.16</v>
      </c>
      <c r="N15" s="13">
        <v>1.52</v>
      </c>
      <c r="O15" s="13">
        <v>-5.4</v>
      </c>
      <c r="P15" s="13">
        <v>0.16</v>
      </c>
    </row>
    <row r="16" spans="1:16" ht="15.4" x14ac:dyDescent="0.45">
      <c r="A16" s="8" t="s">
        <v>23</v>
      </c>
      <c r="B16" s="9" t="s">
        <v>24</v>
      </c>
      <c r="C16" s="9">
        <v>32</v>
      </c>
      <c r="D16" s="9">
        <v>2</v>
      </c>
      <c r="E16" s="13">
        <v>-5.83</v>
      </c>
      <c r="F16" s="10">
        <f t="shared" si="0"/>
        <v>40.144230769230766</v>
      </c>
      <c r="G16" s="13">
        <v>0.28999999999999998</v>
      </c>
      <c r="H16" s="10">
        <f t="shared" si="1"/>
        <v>-80.921052631578945</v>
      </c>
      <c r="I16" s="13">
        <v>-5.72</v>
      </c>
      <c r="J16" s="10">
        <f t="shared" si="2"/>
        <v>37.499999999999986</v>
      </c>
      <c r="K16" s="13">
        <v>0.32</v>
      </c>
      <c r="L16" s="10">
        <f t="shared" si="3"/>
        <v>-78.94736842105263</v>
      </c>
      <c r="M16" s="13">
        <v>-4.16</v>
      </c>
      <c r="N16" s="13">
        <v>1.52</v>
      </c>
      <c r="O16" s="13">
        <v>-5.4</v>
      </c>
      <c r="P16" s="13">
        <v>0.16</v>
      </c>
    </row>
    <row r="17" spans="1:16" ht="15.4" x14ac:dyDescent="0.45">
      <c r="A17" s="8" t="s">
        <v>25</v>
      </c>
      <c r="B17" s="9" t="s">
        <v>24</v>
      </c>
      <c r="C17" s="9">
        <v>64</v>
      </c>
      <c r="D17" s="9">
        <v>2</v>
      </c>
      <c r="E17" s="13">
        <v>-5.91</v>
      </c>
      <c r="F17" s="10">
        <f t="shared" si="0"/>
        <v>42.067307692307693</v>
      </c>
      <c r="G17" s="13">
        <v>0.17</v>
      </c>
      <c r="H17" s="10">
        <f t="shared" si="1"/>
        <v>-88.81578947368422</v>
      </c>
      <c r="I17" s="13">
        <v>-5.84</v>
      </c>
      <c r="J17" s="10">
        <f>(I17-M17)/M17*100</f>
        <v>40.384615384615373</v>
      </c>
      <c r="K17" s="13">
        <v>0.17</v>
      </c>
      <c r="L17" s="10">
        <f t="shared" si="3"/>
        <v>-88.81578947368422</v>
      </c>
      <c r="M17" s="13">
        <v>-4.16</v>
      </c>
      <c r="N17" s="13">
        <v>1.52</v>
      </c>
      <c r="O17" s="13">
        <v>-5.4</v>
      </c>
      <c r="P17" s="13">
        <v>0.16</v>
      </c>
    </row>
    <row r="18" spans="1:16" ht="15.75" thickBot="1" x14ac:dyDescent="0.5">
      <c r="A18" s="11" t="s">
        <v>26</v>
      </c>
      <c r="B18" s="6" t="s">
        <v>24</v>
      </c>
      <c r="C18" s="6">
        <v>128</v>
      </c>
      <c r="D18" s="6">
        <v>2</v>
      </c>
      <c r="E18" s="14">
        <v>-5.84</v>
      </c>
      <c r="F18" s="12">
        <f t="shared" si="0"/>
        <v>40.384615384615373</v>
      </c>
      <c r="G18" s="14">
        <v>0.42</v>
      </c>
      <c r="H18" s="12">
        <f t="shared" si="1"/>
        <v>-72.368421052631575</v>
      </c>
      <c r="I18" s="14">
        <v>-5.61</v>
      </c>
      <c r="J18" s="12">
        <f t="shared" si="2"/>
        <v>34.855769230769234</v>
      </c>
      <c r="K18" s="14">
        <v>0.11</v>
      </c>
      <c r="L18" s="12">
        <f t="shared" si="3"/>
        <v>-92.763157894736835</v>
      </c>
      <c r="M18" s="14">
        <v>-4.16</v>
      </c>
      <c r="N18" s="14">
        <v>1.52</v>
      </c>
      <c r="O18" s="14">
        <v>-5.4</v>
      </c>
      <c r="P18" s="14">
        <v>0.16</v>
      </c>
    </row>
    <row r="19" spans="1:16" x14ac:dyDescent="0.45">
      <c r="A19" s="1"/>
      <c r="B19" s="1"/>
      <c r="C19" s="1"/>
      <c r="D19" s="1"/>
      <c r="E19" s="1"/>
      <c r="F19" s="1"/>
    </row>
    <row r="20" spans="1:16" x14ac:dyDescent="0.45">
      <c r="A20" s="1"/>
      <c r="B20" s="1"/>
      <c r="C20" s="1"/>
      <c r="D20" s="1"/>
      <c r="E20" s="1"/>
      <c r="F20" s="1"/>
    </row>
    <row r="21" spans="1:16" x14ac:dyDescent="0.45">
      <c r="A21" s="1"/>
      <c r="B21" s="1"/>
      <c r="C21" s="1"/>
      <c r="D21" s="1"/>
      <c r="E21" s="1"/>
      <c r="F21" s="1"/>
    </row>
    <row r="22" spans="1:16" x14ac:dyDescent="0.45">
      <c r="A22" s="1"/>
      <c r="B22" s="1"/>
      <c r="C22" s="1"/>
      <c r="D22" s="1"/>
      <c r="E22" s="1"/>
      <c r="F22" s="1"/>
    </row>
    <row r="23" spans="1:16" x14ac:dyDescent="0.45">
      <c r="A23" s="1"/>
      <c r="B23" s="1"/>
      <c r="C23" s="1"/>
      <c r="D23" s="1"/>
      <c r="E23" s="1"/>
      <c r="F23" s="1"/>
    </row>
    <row r="24" spans="1:16" x14ac:dyDescent="0.45">
      <c r="A24" s="1"/>
      <c r="B24" s="1"/>
      <c r="C24" s="1"/>
      <c r="D24" s="1"/>
      <c r="E24" s="1"/>
      <c r="F24" s="1"/>
    </row>
    <row r="25" spans="1:16" x14ac:dyDescent="0.45">
      <c r="A25" s="1"/>
      <c r="B25" s="1"/>
      <c r="C25" s="1"/>
      <c r="D25" s="1"/>
      <c r="E25" s="1"/>
      <c r="F25" s="1"/>
    </row>
    <row r="26" spans="1:16" x14ac:dyDescent="0.45">
      <c r="A26" s="1"/>
      <c r="B26" s="1"/>
      <c r="C26" s="1"/>
      <c r="D26" s="1"/>
      <c r="E26" s="1"/>
      <c r="F26" s="1"/>
    </row>
    <row r="27" spans="1:16" x14ac:dyDescent="0.45">
      <c r="A27" s="1"/>
      <c r="B27" s="1"/>
      <c r="C27" s="1"/>
      <c r="D27" s="1"/>
      <c r="E27" s="1"/>
      <c r="F27" s="1"/>
    </row>
    <row r="28" spans="1:16" x14ac:dyDescent="0.45">
      <c r="A28" s="1"/>
      <c r="B28" s="1"/>
      <c r="C28" s="1"/>
      <c r="D28" s="1"/>
      <c r="E28" s="1"/>
      <c r="F28" s="1"/>
    </row>
    <row r="29" spans="1:16" x14ac:dyDescent="0.45">
      <c r="A29" s="1"/>
      <c r="B29" s="1"/>
      <c r="C29" s="1"/>
      <c r="D29" s="1"/>
      <c r="E29" s="1"/>
      <c r="F29" s="1"/>
    </row>
    <row r="30" spans="1:16" x14ac:dyDescent="0.45">
      <c r="A30" s="1"/>
      <c r="B30" s="1"/>
      <c r="C30" s="1"/>
      <c r="D30" s="1"/>
      <c r="E30" s="1"/>
      <c r="F30" s="1"/>
    </row>
    <row r="31" spans="1:16" x14ac:dyDescent="0.45">
      <c r="A31" s="1"/>
      <c r="B31" s="1"/>
      <c r="C31" s="1"/>
      <c r="D31" s="1"/>
      <c r="E31" s="1"/>
      <c r="F31" s="1"/>
    </row>
    <row r="32" spans="1:16" x14ac:dyDescent="0.45">
      <c r="A32" s="1"/>
      <c r="B32" s="1"/>
      <c r="C32" s="1"/>
      <c r="D32" s="1"/>
      <c r="E32" s="1"/>
      <c r="F32" s="1"/>
    </row>
    <row r="33" spans="1:6" x14ac:dyDescent="0.45">
      <c r="A33" s="1"/>
      <c r="B33" s="1"/>
      <c r="C33" s="1"/>
      <c r="D33" s="1"/>
      <c r="E33" s="1"/>
      <c r="F33" s="1"/>
    </row>
    <row r="34" spans="1:6" x14ac:dyDescent="0.45">
      <c r="A34" s="1"/>
      <c r="B34" s="1"/>
      <c r="C34" s="1"/>
      <c r="D34" s="1"/>
      <c r="E34" s="1"/>
      <c r="F34" s="1"/>
    </row>
    <row r="35" spans="1:6" x14ac:dyDescent="0.45">
      <c r="A35" s="1"/>
      <c r="B35" s="1"/>
      <c r="C35" s="1"/>
      <c r="D35" s="1"/>
      <c r="E35" s="1"/>
      <c r="F35" s="1"/>
    </row>
    <row r="36" spans="1:6" x14ac:dyDescent="0.45">
      <c r="A36" s="1"/>
      <c r="B36" s="1"/>
      <c r="C36" s="1"/>
      <c r="D36" s="1"/>
      <c r="E36" s="1"/>
      <c r="F36" s="1"/>
    </row>
    <row r="37" spans="1:6" x14ac:dyDescent="0.45">
      <c r="A37" s="1"/>
      <c r="B37" s="1"/>
      <c r="C37" s="1"/>
      <c r="D37" s="1"/>
      <c r="E37" s="1"/>
      <c r="F37" s="1"/>
    </row>
    <row r="38" spans="1:6" x14ac:dyDescent="0.45">
      <c r="A38" s="1"/>
      <c r="B38" s="1"/>
      <c r="C38" s="1"/>
      <c r="D38" s="1"/>
      <c r="E38" s="1"/>
      <c r="F38" s="1"/>
    </row>
    <row r="39" spans="1:6" x14ac:dyDescent="0.45">
      <c r="A39" s="1"/>
      <c r="B39" s="1"/>
      <c r="C39" s="1"/>
      <c r="D39" s="1"/>
      <c r="E39" s="1"/>
      <c r="F39" s="1"/>
    </row>
    <row r="40" spans="1:6" x14ac:dyDescent="0.45">
      <c r="A40" s="1"/>
      <c r="B40" s="1"/>
      <c r="C40" s="1"/>
      <c r="D40" s="1"/>
      <c r="E40" s="1"/>
      <c r="F40" s="1"/>
    </row>
    <row r="41" spans="1:6" x14ac:dyDescent="0.45">
      <c r="A41" s="1"/>
      <c r="B41" s="1"/>
      <c r="C41" s="1"/>
      <c r="D41" s="1"/>
      <c r="E41" s="1"/>
      <c r="F41" s="1"/>
    </row>
    <row r="42" spans="1:6" x14ac:dyDescent="0.45">
      <c r="A42" s="1"/>
      <c r="B42" s="1"/>
      <c r="C42" s="1"/>
      <c r="D42" s="1"/>
      <c r="E42" s="1"/>
      <c r="F42" s="1"/>
    </row>
    <row r="43" spans="1:6" x14ac:dyDescent="0.45">
      <c r="A43" s="1"/>
      <c r="B43" s="1"/>
      <c r="C43" s="1"/>
      <c r="D43" s="1"/>
      <c r="E43" s="1"/>
      <c r="F43" s="1"/>
    </row>
    <row r="44" spans="1:6" x14ac:dyDescent="0.45">
      <c r="A44" s="1"/>
      <c r="B44" s="1"/>
      <c r="C44" s="1"/>
      <c r="D44" s="1"/>
      <c r="E44" s="1"/>
      <c r="F44" s="1"/>
    </row>
    <row r="45" spans="1:6" x14ac:dyDescent="0.45">
      <c r="A45" s="1"/>
      <c r="B45" s="1"/>
      <c r="C45" s="1"/>
      <c r="D45" s="1"/>
      <c r="E45" s="1"/>
      <c r="F45" s="1"/>
    </row>
    <row r="46" spans="1:6" x14ac:dyDescent="0.45">
      <c r="A46" s="1"/>
      <c r="B46" s="1"/>
      <c r="C46" s="1"/>
      <c r="D46" s="1"/>
      <c r="E46" s="1"/>
      <c r="F46" s="1"/>
    </row>
    <row r="47" spans="1:6" x14ac:dyDescent="0.45">
      <c r="A47" s="1"/>
      <c r="B47" s="1"/>
      <c r="C47" s="1"/>
      <c r="D47" s="1"/>
      <c r="E47" s="1"/>
      <c r="F47" s="1"/>
    </row>
  </sheetData>
  <mergeCells count="7">
    <mergeCell ref="A2:A3"/>
    <mergeCell ref="B2:B3"/>
    <mergeCell ref="O1:P1"/>
    <mergeCell ref="A1:D1"/>
    <mergeCell ref="E1:H1"/>
    <mergeCell ref="I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</dc:creator>
  <cp:lastModifiedBy>Marko Grebović</cp:lastModifiedBy>
  <dcterms:created xsi:type="dcterms:W3CDTF">2015-06-05T18:17:20Z</dcterms:created>
  <dcterms:modified xsi:type="dcterms:W3CDTF">2025-08-12T22:25:46Z</dcterms:modified>
</cp:coreProperties>
</file>